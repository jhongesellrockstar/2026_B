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6-B\Base de Datos I\Sesión 4\"/>
    </mc:Choice>
  </mc:AlternateContent>
  <xr:revisionPtr revIDLastSave="0" documentId="13_ncr:1_{30C2E119-AA96-403C-A6FB-124BBE1EBBF8}" xr6:coauthVersionLast="47" xr6:coauthVersionMax="47" xr10:uidLastSave="{00000000-0000-0000-0000-000000000000}"/>
  <bookViews>
    <workbookView xWindow="0" yWindow="0" windowWidth="19200" windowHeight="14760" xr2:uid="{34356481-4E4C-4E84-8C01-DE0DAC3B2EE6}"/>
  </bookViews>
  <sheets>
    <sheet name="Farmacia" sheetId="2" r:id="rId1"/>
    <sheet name="Sistem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" l="1"/>
  <c r="C10" i="3"/>
  <c r="C9" i="3"/>
  <c r="C8" i="3"/>
  <c r="C7" i="3"/>
  <c r="M19" i="2"/>
  <c r="M18" i="2"/>
</calcChain>
</file>

<file path=xl/sharedStrings.xml><?xml version="1.0" encoding="utf-8"?>
<sst xmlns="http://schemas.openxmlformats.org/spreadsheetml/2006/main" count="106" uniqueCount="75">
  <si>
    <t>TABLA PRODUCTO</t>
  </si>
  <si>
    <t>IdProducto</t>
  </si>
  <si>
    <t>Nombre</t>
  </si>
  <si>
    <t>Precio</t>
  </si>
  <si>
    <t>PR001</t>
  </si>
  <si>
    <t>PR002</t>
  </si>
  <si>
    <t>PR003</t>
  </si>
  <si>
    <t>Doloflam</t>
  </si>
  <si>
    <t>Proveedor</t>
  </si>
  <si>
    <t>Desenfriolito</t>
  </si>
  <si>
    <t>Jarabe Tos</t>
  </si>
  <si>
    <t>TABLA PROVEEDOR</t>
  </si>
  <si>
    <t>IdProveedor</t>
  </si>
  <si>
    <t>L0001</t>
  </si>
  <si>
    <t>L0002</t>
  </si>
  <si>
    <t>TABLA CLIENTE</t>
  </si>
  <si>
    <t>IdCliente</t>
  </si>
  <si>
    <t>Nombres</t>
  </si>
  <si>
    <t>Apellidos</t>
  </si>
  <si>
    <t>DNI</t>
  </si>
  <si>
    <t>Juan</t>
  </si>
  <si>
    <t>Vega</t>
  </si>
  <si>
    <t>Marita</t>
  </si>
  <si>
    <t>Pasos</t>
  </si>
  <si>
    <t>Luis</t>
  </si>
  <si>
    <t>Santos</t>
  </si>
  <si>
    <t>TABLA VENTA</t>
  </si>
  <si>
    <t>IdVenta</t>
  </si>
  <si>
    <t>V0001</t>
  </si>
  <si>
    <t>Producto</t>
  </si>
  <si>
    <t>Cantidad</t>
  </si>
  <si>
    <t>Cliente</t>
  </si>
  <si>
    <t>Monto</t>
  </si>
  <si>
    <t>V0002</t>
  </si>
  <si>
    <t>CL0003</t>
  </si>
  <si>
    <t>CL0001</t>
  </si>
  <si>
    <t>CL0002</t>
  </si>
  <si>
    <t>TABLA PERSONAL</t>
  </si>
  <si>
    <t>IdPersonal</t>
  </si>
  <si>
    <t>Puesto</t>
  </si>
  <si>
    <t>Sueldo</t>
  </si>
  <si>
    <t>EMP001</t>
  </si>
  <si>
    <t>EMP002</t>
  </si>
  <si>
    <t>Pedro</t>
  </si>
  <si>
    <t>Lagos</t>
  </si>
  <si>
    <t>Administrador</t>
  </si>
  <si>
    <t>Diana</t>
  </si>
  <si>
    <t>Rojas</t>
  </si>
  <si>
    <t>Marca</t>
  </si>
  <si>
    <t>TABLA MARCA</t>
  </si>
  <si>
    <t>IdMarca</t>
  </si>
  <si>
    <t>M001</t>
  </si>
  <si>
    <t>Farmadel</t>
  </si>
  <si>
    <t>M002</t>
  </si>
  <si>
    <t>Vida Sana</t>
  </si>
  <si>
    <t>M003</t>
  </si>
  <si>
    <t>Fluxi</t>
  </si>
  <si>
    <t>Tipo</t>
  </si>
  <si>
    <t>TABLA TIPO</t>
  </si>
  <si>
    <t>IdTipo</t>
  </si>
  <si>
    <t>T01</t>
  </si>
  <si>
    <t>T02</t>
  </si>
  <si>
    <t>T03</t>
  </si>
  <si>
    <t>Jarabe</t>
  </si>
  <si>
    <t>Pastilla</t>
  </si>
  <si>
    <t>Inyectable</t>
  </si>
  <si>
    <t>PR004</t>
  </si>
  <si>
    <t>Alergil</t>
  </si>
  <si>
    <t>Personal</t>
  </si>
  <si>
    <t>BD Farmacia</t>
  </si>
  <si>
    <t>Laboratorio Pacífico</t>
  </si>
  <si>
    <t>Laboratorio Suiza</t>
  </si>
  <si>
    <t>Farmacéutico</t>
  </si>
  <si>
    <t>BÚSQUEDA DE PRODUCTO</t>
  </si>
  <si>
    <t>Fecha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</si>
</sst>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E989A"/>
        <bgColor indexed="64"/>
      </patternFill>
    </fill>
    <fill>
      <patternFill patternType="solid">
        <fgColor rgb="FFC0C9D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0" fillId="0" borderId="1" xfId="0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44" fontId="0" fillId="0" borderId="1" xfId="1" applyFont="1" applyBorder="1"/>
    <xf numFmtId="0" fontId="2" fillId="5" borderId="1" xfId="0" applyFont="1" applyFill="1" applyBorder="1"/>
    <xf numFmtId="0" fontId="0" fillId="0" borderId="1" xfId="1" applyNumberFormat="1" applyFont="1" applyBorder="1"/>
    <xf numFmtId="14" fontId="0" fillId="0" borderId="1" xfId="0" applyNumberFormat="1" applyBorder="1"/>
    <xf numFmtId="0" fontId="2" fillId="6" borderId="1" xfId="0" applyFont="1" applyFill="1" applyBorder="1"/>
    <xf numFmtId="44" fontId="0" fillId="0" borderId="1" xfId="1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0" fillId="11" borderId="0" xfId="0" applyFill="1"/>
    <xf numFmtId="0" fontId="0" fillId="13" borderId="1" xfId="0" applyFill="1" applyBorder="1"/>
    <xf numFmtId="0" fontId="4" fillId="14" borderId="0" xfId="0" applyFont="1" applyFill="1"/>
    <xf numFmtId="0" fontId="4" fillId="15" borderId="0" xfId="0" applyFont="1" applyFill="1"/>
    <xf numFmtId="0" fontId="0" fillId="13" borderId="1" xfId="0" applyFill="1" applyBorder="1" applyAlignment="1">
      <alignment horizontal="right"/>
    </xf>
    <xf numFmtId="0" fontId="4" fillId="12" borderId="0" xfId="0" applyFont="1" applyFill="1" applyAlignment="1">
      <alignment horizontal="center"/>
    </xf>
    <xf numFmtId="44" fontId="0" fillId="13" borderId="1" xfId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99CC"/>
      <color rgb="FFC0C9D6"/>
      <color rgb="FFFE989A"/>
      <color rgb="FFFF7C80"/>
      <color rgb="FFFFFF99"/>
      <color rgb="FFCC99FF"/>
      <color rgb="FF9999FF"/>
      <color rgb="FFFFCCFF"/>
      <color rgb="FF99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3</xdr:row>
      <xdr:rowOff>133350</xdr:rowOff>
    </xdr:from>
    <xdr:to>
      <xdr:col>4</xdr:col>
      <xdr:colOff>742950</xdr:colOff>
      <xdr:row>6</xdr:row>
      <xdr:rowOff>90488</xdr:rowOff>
    </xdr:to>
    <xdr:pic>
      <xdr:nvPicPr>
        <xdr:cNvPr id="2" name="Imagen 1" descr="Búsqueda - Iconos Interfaz de usuario y Gestos">
          <a:extLst>
            <a:ext uri="{FF2B5EF4-FFF2-40B4-BE49-F238E27FC236}">
              <a16:creationId xmlns:a16="http://schemas.microsoft.com/office/drawing/2014/main" id="{4768B717-00DA-91BC-EF1D-9C81ED37F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704850"/>
          <a:ext cx="571500" cy="528638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AA21-DF8B-482F-B50B-EE8ADB4D7C73}">
  <dimension ref="A1:O20"/>
  <sheetViews>
    <sheetView showGridLines="0" tabSelected="1" zoomScaleNormal="100" workbookViewId="0">
      <selection activeCell="A5" sqref="A5"/>
    </sheetView>
  </sheetViews>
  <sheetFormatPr baseColWidth="10" defaultRowHeight="15" x14ac:dyDescent="0.25"/>
  <cols>
    <col min="1" max="1" width="13.42578125" customWidth="1"/>
    <col min="2" max="2" width="18.42578125" bestFit="1" customWidth="1"/>
    <col min="3" max="3" width="8.5703125" customWidth="1"/>
    <col min="4" max="6" width="11.42578125" customWidth="1"/>
    <col min="7" max="7" width="3.140625" customWidth="1"/>
    <col min="11" max="11" width="13.28515625" customWidth="1"/>
    <col min="14" max="14" width="11.85546875" bestFit="1" customWidth="1"/>
  </cols>
  <sheetData>
    <row r="1" spans="1:12" x14ac:dyDescent="0.25">
      <c r="A1" s="15" t="s">
        <v>69</v>
      </c>
    </row>
    <row r="3" spans="1:12" x14ac:dyDescent="0.25">
      <c r="A3" s="1" t="s">
        <v>0</v>
      </c>
      <c r="H3" s="1" t="s">
        <v>15</v>
      </c>
    </row>
    <row r="4" spans="1:12" x14ac:dyDescent="0.25">
      <c r="A4" s="4" t="s">
        <v>1</v>
      </c>
      <c r="B4" s="3" t="s">
        <v>2</v>
      </c>
      <c r="C4" s="3" t="s">
        <v>3</v>
      </c>
      <c r="D4" s="3" t="s">
        <v>48</v>
      </c>
      <c r="E4" s="3" t="s">
        <v>57</v>
      </c>
      <c r="F4" s="3" t="s">
        <v>8</v>
      </c>
      <c r="H4" s="4" t="s">
        <v>16</v>
      </c>
      <c r="I4" s="5" t="s">
        <v>17</v>
      </c>
      <c r="J4" s="5" t="s">
        <v>18</v>
      </c>
      <c r="K4" s="5" t="s">
        <v>19</v>
      </c>
    </row>
    <row r="5" spans="1:12" x14ac:dyDescent="0.25">
      <c r="A5" s="2" t="s">
        <v>4</v>
      </c>
      <c r="B5" s="2" t="s">
        <v>7</v>
      </c>
      <c r="C5" s="6">
        <v>5</v>
      </c>
      <c r="D5" s="2" t="s">
        <v>55</v>
      </c>
      <c r="E5" s="2" t="s">
        <v>61</v>
      </c>
      <c r="F5" s="2" t="s">
        <v>14</v>
      </c>
      <c r="H5" s="2" t="s">
        <v>35</v>
      </c>
      <c r="I5" s="2" t="s">
        <v>20</v>
      </c>
      <c r="J5" s="2" t="s">
        <v>21</v>
      </c>
      <c r="K5" s="2">
        <v>10101010</v>
      </c>
    </row>
    <row r="6" spans="1:12" x14ac:dyDescent="0.25">
      <c r="A6" s="2" t="s">
        <v>5</v>
      </c>
      <c r="B6" s="2" t="s">
        <v>9</v>
      </c>
      <c r="C6" s="11">
        <v>4</v>
      </c>
      <c r="D6" s="2" t="s">
        <v>51</v>
      </c>
      <c r="E6" s="2" t="s">
        <v>61</v>
      </c>
      <c r="F6" s="2" t="s">
        <v>13</v>
      </c>
      <c r="H6" s="2" t="s">
        <v>36</v>
      </c>
      <c r="I6" s="2" t="s">
        <v>22</v>
      </c>
      <c r="J6" s="2" t="s">
        <v>23</v>
      </c>
      <c r="K6" s="2">
        <v>20202020</v>
      </c>
    </row>
    <row r="7" spans="1:12" x14ac:dyDescent="0.25">
      <c r="A7" s="2" t="s">
        <v>6</v>
      </c>
      <c r="B7" s="2" t="s">
        <v>67</v>
      </c>
      <c r="C7" s="6">
        <v>6</v>
      </c>
      <c r="D7" s="2" t="s">
        <v>53</v>
      </c>
      <c r="E7" s="2" t="s">
        <v>62</v>
      </c>
      <c r="F7" s="2" t="s">
        <v>14</v>
      </c>
      <c r="H7" s="2" t="s">
        <v>34</v>
      </c>
      <c r="I7" s="2" t="s">
        <v>24</v>
      </c>
      <c r="J7" s="2" t="s">
        <v>25</v>
      </c>
      <c r="K7" s="2">
        <v>30303030</v>
      </c>
    </row>
    <row r="8" spans="1:12" x14ac:dyDescent="0.25">
      <c r="A8" s="2" t="s">
        <v>66</v>
      </c>
      <c r="B8" s="2" t="s">
        <v>10</v>
      </c>
      <c r="C8" s="6">
        <v>2</v>
      </c>
      <c r="D8" s="2" t="s">
        <v>55</v>
      </c>
      <c r="E8" s="2" t="s">
        <v>60</v>
      </c>
      <c r="F8" s="2" t="s">
        <v>14</v>
      </c>
    </row>
    <row r="10" spans="1:12" x14ac:dyDescent="0.25">
      <c r="A10" s="1" t="s">
        <v>49</v>
      </c>
      <c r="D10" s="1" t="s">
        <v>58</v>
      </c>
      <c r="H10" s="1" t="s">
        <v>37</v>
      </c>
    </row>
    <row r="11" spans="1:12" x14ac:dyDescent="0.25">
      <c r="A11" s="4" t="s">
        <v>50</v>
      </c>
      <c r="B11" s="13" t="s">
        <v>2</v>
      </c>
      <c r="D11" s="4" t="s">
        <v>59</v>
      </c>
      <c r="E11" s="10" t="s">
        <v>2</v>
      </c>
      <c r="H11" s="4" t="s">
        <v>38</v>
      </c>
      <c r="I11" s="14" t="s">
        <v>17</v>
      </c>
      <c r="J11" s="14" t="s">
        <v>18</v>
      </c>
      <c r="K11" s="14" t="s">
        <v>39</v>
      </c>
      <c r="L11" s="14" t="s">
        <v>40</v>
      </c>
    </row>
    <row r="12" spans="1:12" x14ac:dyDescent="0.25">
      <c r="A12" s="2" t="s">
        <v>51</v>
      </c>
      <c r="B12" s="2" t="s">
        <v>52</v>
      </c>
      <c r="D12" s="2" t="s">
        <v>60</v>
      </c>
      <c r="E12" s="2" t="s">
        <v>63</v>
      </c>
      <c r="H12" s="2" t="s">
        <v>41</v>
      </c>
      <c r="I12" s="2" t="s">
        <v>43</v>
      </c>
      <c r="J12" s="2" t="s">
        <v>44</v>
      </c>
      <c r="K12" s="2" t="s">
        <v>45</v>
      </c>
      <c r="L12" s="2">
        <v>3000</v>
      </c>
    </row>
    <row r="13" spans="1:12" x14ac:dyDescent="0.25">
      <c r="A13" s="2" t="s">
        <v>53</v>
      </c>
      <c r="B13" s="2" t="s">
        <v>54</v>
      </c>
      <c r="D13" s="2" t="s">
        <v>61</v>
      </c>
      <c r="E13" s="2" t="s">
        <v>64</v>
      </c>
      <c r="H13" s="2" t="s">
        <v>42</v>
      </c>
      <c r="I13" s="2" t="s">
        <v>46</v>
      </c>
      <c r="J13" s="2" t="s">
        <v>47</v>
      </c>
      <c r="K13" s="2" t="s">
        <v>72</v>
      </c>
      <c r="L13" s="2">
        <v>2500</v>
      </c>
    </row>
    <row r="14" spans="1:12" x14ac:dyDescent="0.25">
      <c r="A14" s="2" t="s">
        <v>55</v>
      </c>
      <c r="B14" s="2" t="s">
        <v>56</v>
      </c>
      <c r="D14" s="2" t="s">
        <v>62</v>
      </c>
      <c r="E14" s="2" t="s">
        <v>65</v>
      </c>
    </row>
    <row r="16" spans="1:12" x14ac:dyDescent="0.25">
      <c r="H16" s="1" t="s">
        <v>26</v>
      </c>
    </row>
    <row r="17" spans="1:15" x14ac:dyDescent="0.25">
      <c r="A17" s="1" t="s">
        <v>11</v>
      </c>
      <c r="H17" s="4" t="s">
        <v>27</v>
      </c>
      <c r="I17" s="7" t="s">
        <v>31</v>
      </c>
      <c r="J17" s="7" t="s">
        <v>29</v>
      </c>
      <c r="K17" s="7" t="s">
        <v>30</v>
      </c>
      <c r="L17" s="7" t="s">
        <v>3</v>
      </c>
      <c r="M17" s="7" t="s">
        <v>32</v>
      </c>
      <c r="N17" s="7" t="s">
        <v>74</v>
      </c>
      <c r="O17" s="7" t="s">
        <v>68</v>
      </c>
    </row>
    <row r="18" spans="1:15" x14ac:dyDescent="0.25">
      <c r="A18" s="4" t="s">
        <v>12</v>
      </c>
      <c r="B18" s="12" t="s">
        <v>2</v>
      </c>
      <c r="H18" s="2" t="s">
        <v>28</v>
      </c>
      <c r="I18" s="2" t="s">
        <v>34</v>
      </c>
      <c r="J18" s="2" t="s">
        <v>5</v>
      </c>
      <c r="K18" s="8">
        <v>5</v>
      </c>
      <c r="L18" s="11">
        <v>2</v>
      </c>
      <c r="M18" s="6">
        <f>K18*L18</f>
        <v>10</v>
      </c>
      <c r="N18" s="9">
        <v>46132</v>
      </c>
      <c r="O18" s="2" t="s">
        <v>42</v>
      </c>
    </row>
    <row r="19" spans="1:15" x14ac:dyDescent="0.25">
      <c r="A19" s="2" t="s">
        <v>13</v>
      </c>
      <c r="B19" s="2" t="s">
        <v>70</v>
      </c>
      <c r="H19" s="2" t="s">
        <v>33</v>
      </c>
      <c r="I19" s="2" t="s">
        <v>35</v>
      </c>
      <c r="J19" s="2" t="s">
        <v>6</v>
      </c>
      <c r="K19" s="8">
        <v>2</v>
      </c>
      <c r="L19" s="6">
        <v>6</v>
      </c>
      <c r="M19" s="6">
        <f>K19*L19</f>
        <v>12</v>
      </c>
      <c r="N19" s="9">
        <v>46132</v>
      </c>
      <c r="O19" s="2" t="s">
        <v>41</v>
      </c>
    </row>
    <row r="20" spans="1:15" x14ac:dyDescent="0.25">
      <c r="A20" s="2" t="s">
        <v>14</v>
      </c>
      <c r="B20" s="2" t="s">
        <v>71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E9F2B-BAC6-4DAB-9FE2-7D2575F7AA15}">
  <dimension ref="A1:F16"/>
  <sheetViews>
    <sheetView showRowColHeaders="0" workbookViewId="0">
      <selection activeCell="C5" sqref="C5"/>
    </sheetView>
  </sheetViews>
  <sheetFormatPr baseColWidth="10" defaultColWidth="0" defaultRowHeight="15" zeroHeight="1" x14ac:dyDescent="0.25"/>
  <cols>
    <col min="1" max="1" width="4.5703125" style="16" customWidth="1"/>
    <col min="2" max="5" width="11.42578125" style="16" customWidth="1"/>
    <col min="6" max="6" width="4.85546875" style="16" customWidth="1"/>
    <col min="7" max="7" width="11.42578125" style="16" hidden="1" customWidth="1"/>
    <col min="8" max="16384" width="11.42578125" style="16" hidden="1"/>
  </cols>
  <sheetData>
    <row r="1" spans="2:6" x14ac:dyDescent="0.25"/>
    <row r="2" spans="2:6" x14ac:dyDescent="0.25"/>
    <row r="3" spans="2:6" x14ac:dyDescent="0.25">
      <c r="B3" s="21" t="s">
        <v>73</v>
      </c>
      <c r="C3" s="21"/>
      <c r="D3" s="21"/>
      <c r="E3" s="21"/>
    </row>
    <row r="4" spans="2:6" x14ac:dyDescent="0.25"/>
    <row r="5" spans="2:6" x14ac:dyDescent="0.25">
      <c r="B5" s="19" t="s">
        <v>1</v>
      </c>
      <c r="C5" s="17" t="s">
        <v>4</v>
      </c>
    </row>
    <row r="6" spans="2:6" x14ac:dyDescent="0.25"/>
    <row r="7" spans="2:6" x14ac:dyDescent="0.25">
      <c r="B7" s="18" t="s">
        <v>2</v>
      </c>
      <c r="C7" s="20" t="str">
        <f>VLOOKUP(C5,Farmacia!$A$5:$F$8,2)</f>
        <v>Doloflam</v>
      </c>
      <c r="D7" s="20"/>
    </row>
    <row r="8" spans="2:6" x14ac:dyDescent="0.25">
      <c r="B8" s="18" t="s">
        <v>3</v>
      </c>
      <c r="C8" s="22">
        <f>VLOOKUP(C5,Farmacia!$A$5:$F$8,3)</f>
        <v>5</v>
      </c>
      <c r="D8" s="22"/>
    </row>
    <row r="9" spans="2:6" x14ac:dyDescent="0.25">
      <c r="B9" s="18" t="s">
        <v>48</v>
      </c>
      <c r="C9" s="20" t="str">
        <f>INDEX(Farmacia!$A$12:$B$14,MATCH(VLOOKUP(C5,Farmacia!$A$5:$F$8,4),Farmacia!$A$12:$A$14,0),2)</f>
        <v>Fluxi</v>
      </c>
      <c r="D9" s="20"/>
    </row>
    <row r="10" spans="2:6" x14ac:dyDescent="0.25">
      <c r="B10" s="18" t="s">
        <v>57</v>
      </c>
      <c r="C10" s="20" t="str">
        <f>INDEX(Farmacia!$D$12:$E$14,MATCH(VLOOKUP(C5,Farmacia!$A$5:$F$8,5),Farmacia!$D$12:$D$14,0),2)</f>
        <v>Pastilla</v>
      </c>
      <c r="D10" s="20"/>
    </row>
    <row r="11" spans="2:6" x14ac:dyDescent="0.25">
      <c r="B11" s="18" t="s">
        <v>8</v>
      </c>
      <c r="C11" s="20" t="str">
        <f>INDEX(Farmacia!$A$19:$B$20,MATCH(VLOOKUP(C5,Farmacia!$A$5:$F$8,6),Farmacia!$A$19:$A$20,0),2)</f>
        <v>Laboratorio Suiza</v>
      </c>
      <c r="D11" s="20"/>
    </row>
    <row r="12" spans="2:6" x14ac:dyDescent="0.25"/>
    <row r="13" spans="2:6" x14ac:dyDescent="0.25"/>
    <row r="16" spans="2:6" hidden="1" x14ac:dyDescent="0.25">
      <c r="F16"/>
    </row>
  </sheetData>
  <mergeCells count="6">
    <mergeCell ref="C11:D11"/>
    <mergeCell ref="B3:E3"/>
    <mergeCell ref="C7:D7"/>
    <mergeCell ref="C8:D8"/>
    <mergeCell ref="C9:D9"/>
    <mergeCell ref="C10:D10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5459E3-F563-4801-AAA6-6F662D76FD3F}">
          <x14:formula1>
            <xm:f>Farmacia!$A$5:$A$8</xm:f>
          </x14:formula1>
          <xm:sqref>C5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Farmacia</vt:lpstr>
      <vt:lpstr>Sistema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LAB-B</dc:creator>
  <cp:lastModifiedBy>Erick</cp:lastModifiedBy>
  <dcterms:created xsi:type="dcterms:W3CDTF">2024-09-20T13:47:14Z</dcterms:created>
  <dcterms:modified xsi:type="dcterms:W3CDTF">2026-09-30T01:39:49Z</dcterms:modified>
</cp:coreProperties>
</file>